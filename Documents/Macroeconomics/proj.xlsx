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onyshchuk/Documents/Macroeconomics/Project/"/>
    </mc:Choice>
  </mc:AlternateContent>
  <xr:revisionPtr revIDLastSave="0" documentId="13_ncr:1_{B2D895A6-52B6-F844-B3B0-2697FF092001}" xr6:coauthVersionLast="47" xr6:coauthVersionMax="47" xr10:uidLastSave="{00000000-0000-0000-0000-000000000000}"/>
  <bookViews>
    <workbookView xWindow="0" yWindow="600" windowWidth="28800" windowHeight="16200" xr2:uid="{0AFC2C9F-1B02-B84F-8DA2-BCB0D756D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I16" i="1"/>
  <c r="I17" i="1"/>
  <c r="I18" i="1"/>
  <c r="I19" i="1"/>
  <c r="I20" i="1"/>
  <c r="I21" i="1"/>
  <c r="I22" i="1"/>
  <c r="I23" i="1"/>
  <c r="I24" i="1"/>
  <c r="I25" i="1"/>
  <c r="I15" i="1"/>
  <c r="H17" i="1"/>
  <c r="H18" i="1" s="1"/>
  <c r="H19" i="1" s="1"/>
  <c r="H20" i="1" s="1"/>
  <c r="H21" i="1" s="1"/>
  <c r="H22" i="1" s="1"/>
  <c r="H23" i="1" s="1"/>
  <c r="H24" i="1" s="1"/>
  <c r="H25" i="1" s="1"/>
  <c r="H16" i="1"/>
  <c r="H15" i="1"/>
  <c r="L3" i="1" l="1"/>
  <c r="L4" i="1"/>
  <c r="L5" i="1"/>
  <c r="L6" i="1"/>
  <c r="L7" i="1"/>
  <c r="L8" i="1"/>
  <c r="L9" i="1"/>
  <c r="L10" i="1"/>
  <c r="L11" i="1"/>
  <c r="L12" i="1"/>
  <c r="L2" i="1"/>
  <c r="F17" i="1"/>
  <c r="F18" i="1"/>
  <c r="F19" i="1"/>
  <c r="F20" i="1"/>
  <c r="F21" i="1"/>
  <c r="F22" i="1"/>
  <c r="F23" i="1"/>
  <c r="F24" i="1"/>
  <c r="F25" i="1"/>
  <c r="F16" i="1"/>
  <c r="E17" i="1"/>
  <c r="E18" i="1"/>
  <c r="E19" i="1"/>
  <c r="E20" i="1"/>
  <c r="E21" i="1"/>
  <c r="E22" i="1"/>
  <c r="E23" i="1"/>
  <c r="E24" i="1"/>
  <c r="E25" i="1"/>
  <c r="E16" i="1"/>
  <c r="G17" i="1" l="1"/>
  <c r="G18" i="1"/>
  <c r="G19" i="1"/>
  <c r="G16" i="1"/>
  <c r="G5" i="1"/>
  <c r="I5" i="1" s="1"/>
  <c r="G12" i="1"/>
  <c r="I12" i="1" s="1"/>
  <c r="G3" i="1"/>
  <c r="I3" i="1" s="1"/>
  <c r="G4" i="1"/>
  <c r="I4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2" i="1"/>
  <c r="I2" i="1" s="1"/>
  <c r="G22" i="1" l="1"/>
  <c r="G21" i="1"/>
  <c r="G20" i="1"/>
  <c r="G24" i="1"/>
  <c r="G25" i="1"/>
  <c r="G23" i="1"/>
</calcChain>
</file>

<file path=xl/sharedStrings.xml><?xml version="1.0" encoding="utf-8"?>
<sst xmlns="http://schemas.openxmlformats.org/spreadsheetml/2006/main" count="25" uniqueCount="23">
  <si>
    <t>Реальний ВВП</t>
  </si>
  <si>
    <t>Чисті Податкові Надходження</t>
  </si>
  <si>
    <t>Облікова ставка НБУ</t>
  </si>
  <si>
    <t>Рік</t>
  </si>
  <si>
    <t>Державні Інвестиції</t>
  </si>
  <si>
    <t>Національні Рахунки (ДССУ)</t>
  </si>
  <si>
    <t xml:space="preserve"> </t>
  </si>
  <si>
    <t>14.50%</t>
  </si>
  <si>
    <t>13.50%</t>
  </si>
  <si>
    <t>Мультиплікатор</t>
  </si>
  <si>
    <t>ΔДержавні видатки (млн грн)</t>
  </si>
  <si>
    <t>ΔВВП (млн грн)</t>
  </si>
  <si>
    <t>Приватні інвестиції(І)</t>
  </si>
  <si>
    <t>Державні Видатки(G)</t>
  </si>
  <si>
    <t>I/G</t>
  </si>
  <si>
    <t>Сальдо (децфіцит бюджету, млн. грн)</t>
  </si>
  <si>
    <t>Номінальне ВВП</t>
  </si>
  <si>
    <t>ІСЦ (грудень)</t>
  </si>
  <si>
    <t>Номінальні Державні Видатки (G)</t>
  </si>
  <si>
    <t>Реальне ВВП</t>
  </si>
  <si>
    <t>Доходи</t>
  </si>
  <si>
    <t>Видатки</t>
  </si>
  <si>
    <t>Дефлятор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</si>
</sst>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2"/>
      <color rgb="FF000000"/>
      <name val="Aptos Narrow"/>
      <scheme val="minor"/>
    </font>
    <font>
      <sz val="13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3"/>
      <color rgb="FFBB0000"/>
      <name val="Arial"/>
      <family val="2"/>
    </font>
    <font>
      <sz val="11"/>
      <color rgb="FFBB0000"/>
      <name val="Arial"/>
      <family val="2"/>
    </font>
    <font>
      <b/>
      <sz val="13"/>
      <color rgb="FF000000"/>
      <name val="Verdana"/>
      <family val="2"/>
    </font>
    <font>
      <sz val="11"/>
      <color rgb="FF000099"/>
      <name val="Arial"/>
      <family val="2"/>
    </font>
    <font>
      <sz val="11"/>
      <color rgb="FF666666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 applyAlignment="1">
      <alignment horizontal="center" vertical="center" wrapText="1"/>
    </xf>
    <xf numFmtId="3" fontId="0" fillId="0" borderId="0" xfId="0" applyNumberFormat="1"/>
    <xf numFmtId="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0" fillId="0" borderId="0" xfId="0" applyNumberFormat="1"/>
    <xf numFmtId="0" fontId="7" fillId="0" borderId="0" xfId="0" applyFont="1"/>
    <xf numFmtId="9" fontId="0" fillId="0" borderId="0" xfId="2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6" fontId="9" fillId="0" borderId="0" xfId="0" applyNumberFormat="1" applyFont="1"/>
    <xf numFmtId="0" fontId="14" fillId="0" borderId="0" xfId="0" applyFont="1"/>
    <xf numFmtId="0" fontId="13" fillId="0" borderId="0" xfId="0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dex.minfin.com.ua/ua/finance/budget/gov/expense/201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FBF6-652C-7B4B-A998-7654672541E7}">
  <dimension ref="A1:U25"/>
  <sheetViews>
    <sheetView tabSelected="1" topLeftCell="A2" zoomScale="82" zoomScaleNormal="125" workbookViewId="0">
      <selection activeCell="M12" sqref="M12:N12"/>
    </sheetView>
  </sheetViews>
  <sheetFormatPr baseColWidth="10" defaultRowHeight="16" x14ac:dyDescent="0.2"/>
  <cols>
    <col min="4" max="4" width="16" customWidth="1"/>
    <col min="5" max="5" width="11.83203125" customWidth="1"/>
    <col min="7" max="7" width="19.1640625" customWidth="1"/>
  </cols>
  <sheetData>
    <row r="1" spans="1:21" ht="68" x14ac:dyDescent="0.2">
      <c r="A1" s="2" t="s">
        <v>3</v>
      </c>
      <c r="B1" s="2" t="s">
        <v>0</v>
      </c>
      <c r="C1" s="2" t="s">
        <v>13</v>
      </c>
      <c r="D1" s="2" t="s">
        <v>1</v>
      </c>
      <c r="E1" s="2" t="s">
        <v>5</v>
      </c>
      <c r="F1" s="2" t="s">
        <v>4</v>
      </c>
      <c r="G1" s="2" t="s">
        <v>12</v>
      </c>
      <c r="H1" s="2" t="s">
        <v>2</v>
      </c>
      <c r="I1" s="2" t="s">
        <v>14</v>
      </c>
      <c r="J1" s="2" t="s">
        <v>20</v>
      </c>
      <c r="K1" s="2" t="s">
        <v>21</v>
      </c>
      <c r="L1" s="2" t="s">
        <v>15</v>
      </c>
      <c r="O1" s="2"/>
    </row>
    <row r="2" spans="1:21" ht="17" x14ac:dyDescent="0.2">
      <c r="A2" s="3">
        <v>2014</v>
      </c>
      <c r="B2" s="4">
        <v>112600.87699999999</v>
      </c>
      <c r="C2" s="4">
        <v>430217.8</v>
      </c>
      <c r="D2" s="5">
        <v>280178.3</v>
      </c>
      <c r="E2" s="5">
        <v>224327</v>
      </c>
      <c r="F2" s="5">
        <v>7399.6</v>
      </c>
      <c r="G2">
        <f>E2-F2</f>
        <v>216927.4</v>
      </c>
      <c r="H2" s="9">
        <v>0.14000000000000001</v>
      </c>
      <c r="I2" s="13">
        <f>G2/C2</f>
        <v>0.50422692877886499</v>
      </c>
      <c r="J2">
        <v>357084.2</v>
      </c>
      <c r="K2">
        <v>430217.8</v>
      </c>
      <c r="L2">
        <f>J2-K2</f>
        <v>-73133.599999999977</v>
      </c>
      <c r="P2" s="6"/>
      <c r="Q2" s="15"/>
      <c r="R2" s="6"/>
      <c r="S2" s="18"/>
      <c r="T2" s="14"/>
      <c r="U2" s="15"/>
    </row>
    <row r="3" spans="1:21" ht="17" x14ac:dyDescent="0.2">
      <c r="A3" s="3">
        <v>2015</v>
      </c>
      <c r="B3" s="4">
        <v>94704.475300000006</v>
      </c>
      <c r="C3" s="4">
        <v>576911.4</v>
      </c>
      <c r="D3" s="5">
        <v>409417.5</v>
      </c>
      <c r="E3" s="5">
        <v>269422</v>
      </c>
      <c r="F3" s="5">
        <v>17482</v>
      </c>
      <c r="G3">
        <f>E3-F3</f>
        <v>251940</v>
      </c>
      <c r="H3" s="9">
        <v>0.22</v>
      </c>
      <c r="I3" s="13">
        <f>G3/C3</f>
        <v>0.43670483890593942</v>
      </c>
      <c r="J3">
        <v>534694.80000000005</v>
      </c>
      <c r="K3">
        <v>576911.4</v>
      </c>
      <c r="L3">
        <f t="shared" ref="L3:L12" si="0">J3-K3</f>
        <v>-42216.599999999977</v>
      </c>
      <c r="P3" s="6"/>
      <c r="Q3" s="19"/>
      <c r="R3" s="6"/>
      <c r="S3" s="18"/>
      <c r="T3" s="14"/>
      <c r="U3" s="15"/>
    </row>
    <row r="4" spans="1:21" ht="17" x14ac:dyDescent="0.2">
      <c r="A4" s="3">
        <v>2016</v>
      </c>
      <c r="B4" s="4">
        <v>99908.966899999999</v>
      </c>
      <c r="C4" s="4">
        <v>684743.4</v>
      </c>
      <c r="D4" s="5">
        <v>503879.4</v>
      </c>
      <c r="E4" s="5">
        <v>368691</v>
      </c>
      <c r="F4" s="5">
        <v>26631.599999999999</v>
      </c>
      <c r="G4">
        <f>E4-F4</f>
        <v>342059.4</v>
      </c>
      <c r="H4" s="9">
        <v>0.14000000000000001</v>
      </c>
      <c r="I4" s="13">
        <f>G4/C4</f>
        <v>0.49954391674311865</v>
      </c>
      <c r="J4">
        <v>616283.19999999995</v>
      </c>
      <c r="K4">
        <v>684883.7</v>
      </c>
      <c r="L4">
        <f t="shared" si="0"/>
        <v>-68600.5</v>
      </c>
      <c r="P4" s="6"/>
      <c r="Q4" s="15"/>
      <c r="R4" s="6"/>
      <c r="S4" s="18"/>
      <c r="T4" s="14"/>
      <c r="U4" s="15"/>
    </row>
    <row r="5" spans="1:21" ht="17" x14ac:dyDescent="0.2">
      <c r="A5" s="3">
        <v>2017</v>
      </c>
      <c r="B5" s="5">
        <v>109078.035</v>
      </c>
      <c r="C5" s="4">
        <v>839243.7</v>
      </c>
      <c r="D5" s="5">
        <v>627153.69999999995</v>
      </c>
      <c r="E5" s="5">
        <v>470327</v>
      </c>
      <c r="F5" s="5">
        <v>40661.800000000003</v>
      </c>
      <c r="G5">
        <f>E5-F5</f>
        <v>429665.2</v>
      </c>
      <c r="H5" s="10" t="s">
        <v>7</v>
      </c>
      <c r="I5" s="13">
        <f>G5/C5</f>
        <v>0.51196714375097485</v>
      </c>
      <c r="J5">
        <v>793441.8</v>
      </c>
      <c r="K5">
        <v>839453</v>
      </c>
      <c r="L5">
        <f t="shared" si="0"/>
        <v>-46011.199999999953</v>
      </c>
      <c r="P5" s="6"/>
      <c r="Q5" s="19"/>
      <c r="R5" s="6"/>
      <c r="S5" s="18"/>
      <c r="T5" s="14"/>
      <c r="U5" s="15"/>
    </row>
    <row r="6" spans="1:21" ht="17" x14ac:dyDescent="0.2">
      <c r="A6" s="3">
        <v>2018</v>
      </c>
      <c r="B6" s="4">
        <v>117667.644</v>
      </c>
      <c r="C6" s="4">
        <v>985842</v>
      </c>
      <c r="D6" s="5">
        <v>753815.6</v>
      </c>
      <c r="E6" s="5">
        <v>628296</v>
      </c>
      <c r="F6" s="5">
        <v>69799.7</v>
      </c>
      <c r="G6">
        <f>E6-F6</f>
        <v>558496.30000000005</v>
      </c>
      <c r="H6" s="9">
        <v>0.18</v>
      </c>
      <c r="I6" s="13">
        <f>G6/C6</f>
        <v>0.56651704837083428</v>
      </c>
      <c r="J6">
        <v>928100</v>
      </c>
      <c r="K6">
        <v>985900</v>
      </c>
      <c r="L6">
        <f t="shared" si="0"/>
        <v>-57800</v>
      </c>
      <c r="P6" s="6"/>
      <c r="Q6" s="15"/>
      <c r="R6" s="6"/>
      <c r="S6" s="18"/>
      <c r="T6" s="14"/>
      <c r="U6" s="15"/>
    </row>
    <row r="7" spans="1:21" ht="17" x14ac:dyDescent="0.2">
      <c r="A7" s="3">
        <v>2019</v>
      </c>
      <c r="B7" s="4">
        <v>122002.114</v>
      </c>
      <c r="C7" s="4">
        <v>1072891.5</v>
      </c>
      <c r="D7" s="5">
        <v>799776</v>
      </c>
      <c r="E7" s="5">
        <v>700617</v>
      </c>
      <c r="F7" s="5">
        <v>73948.899999999994</v>
      </c>
      <c r="G7">
        <f>E7-F7</f>
        <v>626668.1</v>
      </c>
      <c r="H7" s="10" t="s">
        <v>8</v>
      </c>
      <c r="I7" s="13">
        <f>G7/C7</f>
        <v>0.58409270648523171</v>
      </c>
      <c r="J7">
        <v>998344.9</v>
      </c>
      <c r="K7">
        <v>1075122.1000000001</v>
      </c>
      <c r="L7">
        <f t="shared" si="0"/>
        <v>-76777.20000000007</v>
      </c>
      <c r="M7" s="8"/>
      <c r="P7" s="6"/>
      <c r="Q7" s="15"/>
      <c r="R7" s="6"/>
      <c r="S7" s="18"/>
      <c r="T7" s="14"/>
      <c r="U7" s="15"/>
    </row>
    <row r="8" spans="1:21" ht="17" x14ac:dyDescent="0.2">
      <c r="A8" s="3">
        <v>2020</v>
      </c>
      <c r="B8" s="4">
        <v>125964.18</v>
      </c>
      <c r="C8" s="4">
        <v>1288016.7</v>
      </c>
      <c r="D8" s="5">
        <v>851115.6</v>
      </c>
      <c r="E8" s="5">
        <v>564315</v>
      </c>
      <c r="F8" s="5">
        <v>94821.9</v>
      </c>
      <c r="G8">
        <f>E8-F8</f>
        <v>469493.1</v>
      </c>
      <c r="H8" s="9">
        <v>0.06</v>
      </c>
      <c r="I8" s="13">
        <f>G8/C8</f>
        <v>0.36450855023851786</v>
      </c>
      <c r="J8">
        <v>1076027</v>
      </c>
      <c r="K8">
        <v>1288121.3</v>
      </c>
      <c r="L8">
        <f t="shared" si="0"/>
        <v>-212094.30000000005</v>
      </c>
      <c r="M8" s="8"/>
      <c r="N8" s="8"/>
      <c r="P8" s="6"/>
      <c r="Q8" s="15"/>
      <c r="R8" s="6"/>
      <c r="S8" s="18"/>
      <c r="T8" s="14"/>
      <c r="U8" s="15"/>
    </row>
    <row r="9" spans="1:21" ht="17" x14ac:dyDescent="0.2">
      <c r="A9" s="3">
        <v>2021</v>
      </c>
      <c r="B9" s="4">
        <v>148344.18599999999</v>
      </c>
      <c r="C9" s="4">
        <v>1490258.9</v>
      </c>
      <c r="D9" s="5">
        <v>1107090.8999999999</v>
      </c>
      <c r="E9" s="5">
        <v>719771</v>
      </c>
      <c r="F9" s="5">
        <v>134090.5</v>
      </c>
      <c r="G9">
        <f>E9-F9</f>
        <v>585680.5</v>
      </c>
      <c r="H9" s="9">
        <v>0.09</v>
      </c>
      <c r="I9" s="13">
        <f>G9/C9</f>
        <v>0.39300587300636153</v>
      </c>
      <c r="J9">
        <v>1296896.5</v>
      </c>
      <c r="K9">
        <v>1491206.4</v>
      </c>
      <c r="L9">
        <f t="shared" si="0"/>
        <v>-194309.89999999991</v>
      </c>
      <c r="M9" s="8"/>
      <c r="N9" s="8"/>
      <c r="P9" s="6"/>
      <c r="Q9" s="15"/>
      <c r="R9" s="6"/>
      <c r="S9" s="18"/>
      <c r="T9" s="14"/>
      <c r="U9" s="15"/>
    </row>
    <row r="10" spans="1:21" ht="17" x14ac:dyDescent="0.2">
      <c r="A10" s="3">
        <v>2022</v>
      </c>
      <c r="B10">
        <v>118503.97</v>
      </c>
      <c r="C10" s="4">
        <v>2705423.3</v>
      </c>
      <c r="D10" s="5">
        <v>949764.4</v>
      </c>
      <c r="E10" s="5">
        <v>621856</v>
      </c>
      <c r="F10" s="5">
        <v>88371.8</v>
      </c>
      <c r="G10">
        <f>E10-F10</f>
        <v>533484.19999999995</v>
      </c>
      <c r="H10" s="9">
        <v>0.25</v>
      </c>
      <c r="I10" s="13">
        <f>G10/C10</f>
        <v>0.19719065774291217</v>
      </c>
      <c r="J10">
        <v>1787711.1</v>
      </c>
      <c r="K10">
        <v>2705749.6</v>
      </c>
      <c r="L10">
        <f t="shared" si="0"/>
        <v>-918038.5</v>
      </c>
      <c r="M10" s="8"/>
      <c r="N10" s="8"/>
      <c r="P10" s="6"/>
      <c r="Q10" s="15"/>
      <c r="R10" s="6"/>
      <c r="S10" s="18"/>
      <c r="T10" s="14"/>
      <c r="U10" s="15"/>
    </row>
    <row r="11" spans="1:21" ht="17" x14ac:dyDescent="0.2">
      <c r="A11" s="3">
        <v>2023</v>
      </c>
      <c r="B11">
        <v>133427.28</v>
      </c>
      <c r="C11" s="4">
        <v>4014418.1</v>
      </c>
      <c r="D11" s="5">
        <v>1203544.1000000001</v>
      </c>
      <c r="E11" s="5">
        <v>1318159</v>
      </c>
      <c r="F11" s="5">
        <v>208531.4</v>
      </c>
      <c r="G11">
        <f>E11-F11</f>
        <v>1109627.6000000001</v>
      </c>
      <c r="H11" s="9">
        <v>0.15</v>
      </c>
      <c r="I11" s="13">
        <f>G11/C11</f>
        <v>0.27641057118589618</v>
      </c>
      <c r="J11">
        <v>2672481.2000000002</v>
      </c>
      <c r="K11">
        <v>4014812.9</v>
      </c>
      <c r="L11">
        <f t="shared" si="0"/>
        <v>-1342331.6999999997</v>
      </c>
      <c r="M11" s="8"/>
      <c r="N11" s="8"/>
      <c r="P11" s="6"/>
      <c r="Q11" s="15"/>
      <c r="R11" s="6"/>
      <c r="S11" s="18"/>
      <c r="T11" s="14"/>
      <c r="U11" s="15"/>
    </row>
    <row r="12" spans="1:21" ht="17" x14ac:dyDescent="0.2">
      <c r="A12" s="3">
        <v>2024</v>
      </c>
      <c r="B12">
        <v>144527.18</v>
      </c>
      <c r="C12" s="4">
        <v>4486682.7</v>
      </c>
      <c r="D12" s="5">
        <v>1647189.6</v>
      </c>
      <c r="E12" s="5">
        <f>_xlfn.FORECAST.LINEAR(2024, I15:I24, A2:A11)</f>
        <v>2137031.7154810429</v>
      </c>
      <c r="F12" s="5">
        <v>305255.5</v>
      </c>
      <c r="G12">
        <f>E12-F12</f>
        <v>1831776.2154810429</v>
      </c>
      <c r="H12" s="10" t="s">
        <v>8</v>
      </c>
      <c r="I12" s="13">
        <f>G12/C12</f>
        <v>0.40826961431461217</v>
      </c>
      <c r="J12">
        <v>3123496.2</v>
      </c>
      <c r="K12">
        <v>4488319.4000000004</v>
      </c>
      <c r="L12">
        <f t="shared" si="0"/>
        <v>-1364823.2000000002</v>
      </c>
      <c r="M12" s="8"/>
      <c r="N12" s="8"/>
      <c r="O12" s="8"/>
      <c r="P12" s="6"/>
      <c r="Q12" s="15"/>
      <c r="R12" s="6"/>
      <c r="S12" s="18"/>
      <c r="T12" s="14"/>
      <c r="U12" s="15"/>
    </row>
    <row r="13" spans="1:21" ht="99" customHeight="1" x14ac:dyDescent="0.2">
      <c r="B13" s="1"/>
      <c r="C13" s="1"/>
      <c r="D13" s="1"/>
      <c r="E13" s="7"/>
      <c r="F13" s="7" t="s">
        <v>6</v>
      </c>
      <c r="G13" s="2"/>
      <c r="H13" s="1"/>
      <c r="I13" s="1"/>
      <c r="M13" s="16"/>
      <c r="N13" s="6"/>
      <c r="O13" s="17"/>
      <c r="P13" s="6"/>
      <c r="Q13" s="15"/>
      <c r="R13" s="6"/>
      <c r="S13" s="18"/>
      <c r="T13" s="14"/>
      <c r="U13" s="15"/>
    </row>
    <row r="14" spans="1:21" ht="17" x14ac:dyDescent="0.2">
      <c r="A14" s="20" t="s">
        <v>3</v>
      </c>
      <c r="B14" s="20" t="s">
        <v>16</v>
      </c>
      <c r="C14" s="20" t="s">
        <v>17</v>
      </c>
      <c r="D14" s="20" t="s">
        <v>18</v>
      </c>
      <c r="E14" s="12" t="s">
        <v>11</v>
      </c>
      <c r="F14" s="12" t="s">
        <v>10</v>
      </c>
      <c r="G14" s="12" t="s">
        <v>9</v>
      </c>
      <c r="H14" s="12" t="s">
        <v>22</v>
      </c>
      <c r="I14" s="12" t="s">
        <v>19</v>
      </c>
      <c r="M14" s="16"/>
      <c r="N14" s="6"/>
      <c r="O14" s="17"/>
      <c r="P14" s="6"/>
      <c r="Q14" s="15"/>
      <c r="R14" s="6"/>
      <c r="S14" s="18"/>
      <c r="T14" s="14"/>
      <c r="U14" s="15"/>
    </row>
    <row r="15" spans="1:21" ht="17" x14ac:dyDescent="0.2">
      <c r="A15" s="20">
        <v>2014</v>
      </c>
      <c r="B15" s="21">
        <v>1566728</v>
      </c>
      <c r="C15" s="21">
        <v>124.9</v>
      </c>
      <c r="D15" s="21">
        <v>430217.8</v>
      </c>
      <c r="H15">
        <f>1</f>
        <v>1</v>
      </c>
      <c r="I15">
        <f>B15/H15</f>
        <v>1566728</v>
      </c>
      <c r="M15" s="16"/>
      <c r="N15" s="6"/>
      <c r="O15" s="17"/>
      <c r="P15" s="6"/>
      <c r="Q15" s="15"/>
      <c r="R15" s="6"/>
      <c r="S15" s="18"/>
      <c r="T15" s="14"/>
      <c r="U15" s="15"/>
    </row>
    <row r="16" spans="1:21" ht="17" x14ac:dyDescent="0.2">
      <c r="A16" s="20">
        <v>2015</v>
      </c>
      <c r="B16" s="21">
        <v>1979458</v>
      </c>
      <c r="C16" s="21">
        <v>143.30000000000001</v>
      </c>
      <c r="D16" s="21">
        <v>576911.4</v>
      </c>
      <c r="E16">
        <f>B16-B15</f>
        <v>412730</v>
      </c>
      <c r="F16">
        <f>D16-D15</f>
        <v>146693.60000000003</v>
      </c>
      <c r="G16" s="11">
        <f>E16/F16</f>
        <v>2.8135515114497149</v>
      </c>
      <c r="H16">
        <f>C16/100*H15</f>
        <v>1.4330000000000001</v>
      </c>
      <c r="I16">
        <f t="shared" ref="I16:I25" si="1">B16/H16</f>
        <v>1381338.4508025122</v>
      </c>
      <c r="M16" s="16"/>
      <c r="N16" s="6"/>
      <c r="O16" s="17"/>
      <c r="P16" s="6"/>
      <c r="Q16" s="15"/>
      <c r="R16" s="6"/>
      <c r="S16" s="18"/>
      <c r="T16" s="14"/>
      <c r="U16" s="15"/>
    </row>
    <row r="17" spans="1:21" ht="17" x14ac:dyDescent="0.2">
      <c r="A17" s="20">
        <v>2016</v>
      </c>
      <c r="B17" s="21">
        <v>2383182</v>
      </c>
      <c r="C17" s="21">
        <v>112.4</v>
      </c>
      <c r="D17" s="21">
        <v>684743.4</v>
      </c>
      <c r="E17">
        <f t="shared" ref="E17:E25" si="2">B17-B16</f>
        <v>403724</v>
      </c>
      <c r="F17">
        <f t="shared" ref="F17:F25" si="3">D17-D16</f>
        <v>107832</v>
      </c>
      <c r="G17" s="11">
        <f t="shared" ref="G17:G25" si="4">E17/F17</f>
        <v>3.7440091994955114</v>
      </c>
      <c r="H17">
        <f t="shared" ref="H17:H25" si="5">C17/100*H16</f>
        <v>1.6106920000000002</v>
      </c>
      <c r="I17">
        <f t="shared" si="1"/>
        <v>1479601.3142177397</v>
      </c>
      <c r="M17" s="16"/>
      <c r="N17" s="6"/>
      <c r="O17" s="17"/>
      <c r="P17" s="6"/>
      <c r="Q17" s="15"/>
      <c r="R17" s="6"/>
      <c r="S17" s="18"/>
      <c r="T17" s="14"/>
      <c r="U17" s="15"/>
    </row>
    <row r="18" spans="1:21" x14ac:dyDescent="0.2">
      <c r="A18" s="20">
        <v>2017</v>
      </c>
      <c r="B18" s="21">
        <v>2982920</v>
      </c>
      <c r="C18" s="21">
        <v>113.7</v>
      </c>
      <c r="D18" s="21">
        <v>839243.7</v>
      </c>
      <c r="E18">
        <f t="shared" si="2"/>
        <v>599738</v>
      </c>
      <c r="F18">
        <f t="shared" si="3"/>
        <v>154500.29999999993</v>
      </c>
      <c r="G18" s="11">
        <f t="shared" si="4"/>
        <v>3.8817918152909754</v>
      </c>
      <c r="H18">
        <f t="shared" si="5"/>
        <v>1.8313568040000003</v>
      </c>
      <c r="I18">
        <f t="shared" si="1"/>
        <v>1628803.2968151188</v>
      </c>
    </row>
    <row r="19" spans="1:21" x14ac:dyDescent="0.2">
      <c r="A19" s="20">
        <v>2018</v>
      </c>
      <c r="B19" s="21">
        <v>3558706</v>
      </c>
      <c r="C19" s="21">
        <v>109.8</v>
      </c>
      <c r="D19" s="21">
        <v>985842</v>
      </c>
      <c r="E19">
        <f t="shared" si="2"/>
        <v>575786</v>
      </c>
      <c r="F19">
        <f t="shared" si="3"/>
        <v>146598.30000000005</v>
      </c>
      <c r="G19" s="11">
        <f t="shared" si="4"/>
        <v>3.9276444542672038</v>
      </c>
      <c r="H19">
        <f t="shared" si="5"/>
        <v>2.0108297707920002</v>
      </c>
      <c r="I19">
        <f t="shared" si="1"/>
        <v>1769769.8988205958</v>
      </c>
    </row>
    <row r="20" spans="1:21" x14ac:dyDescent="0.2">
      <c r="A20" s="20">
        <v>2019</v>
      </c>
      <c r="B20" s="21">
        <v>3974564</v>
      </c>
      <c r="C20" s="21">
        <v>104.1</v>
      </c>
      <c r="D20" s="21">
        <v>1072891.5</v>
      </c>
      <c r="E20">
        <f t="shared" si="2"/>
        <v>415858</v>
      </c>
      <c r="F20">
        <f t="shared" si="3"/>
        <v>87049.5</v>
      </c>
      <c r="G20" s="11">
        <f t="shared" si="4"/>
        <v>4.7772589159041692</v>
      </c>
      <c r="H20">
        <f t="shared" si="5"/>
        <v>2.0932737913944721</v>
      </c>
      <c r="I20">
        <f t="shared" si="1"/>
        <v>1898731.076813546</v>
      </c>
    </row>
    <row r="21" spans="1:21" x14ac:dyDescent="0.2">
      <c r="A21" s="20">
        <v>2020</v>
      </c>
      <c r="B21" s="21">
        <v>4194102</v>
      </c>
      <c r="C21" s="21">
        <v>105</v>
      </c>
      <c r="D21" s="21">
        <v>1288016.7</v>
      </c>
      <c r="E21">
        <f t="shared" si="2"/>
        <v>219538</v>
      </c>
      <c r="F21">
        <f t="shared" si="3"/>
        <v>215125.19999999995</v>
      </c>
      <c r="G21" s="11">
        <f t="shared" si="4"/>
        <v>1.0205127060892916</v>
      </c>
      <c r="H21">
        <f t="shared" si="5"/>
        <v>2.1979374809641956</v>
      </c>
      <c r="I21">
        <f t="shared" si="1"/>
        <v>1908198.9530294205</v>
      </c>
    </row>
    <row r="22" spans="1:21" x14ac:dyDescent="0.2">
      <c r="A22" s="20">
        <v>2021</v>
      </c>
      <c r="B22" s="21">
        <v>5459574</v>
      </c>
      <c r="C22" s="21">
        <v>110</v>
      </c>
      <c r="D22" s="21">
        <v>1490258.9</v>
      </c>
      <c r="E22">
        <f t="shared" si="2"/>
        <v>1265472</v>
      </c>
      <c r="F22">
        <f t="shared" si="3"/>
        <v>202242.19999999995</v>
      </c>
      <c r="G22" s="11">
        <f t="shared" si="4"/>
        <v>6.2572104140481084</v>
      </c>
      <c r="H22">
        <f t="shared" si="5"/>
        <v>2.4177312290606152</v>
      </c>
      <c r="I22">
        <f t="shared" si="1"/>
        <v>2258139.3392189676</v>
      </c>
    </row>
    <row r="23" spans="1:21" x14ac:dyDescent="0.2">
      <c r="A23" s="20">
        <v>2022</v>
      </c>
      <c r="B23" s="21">
        <v>5191028</v>
      </c>
      <c r="C23" s="21">
        <v>126.6</v>
      </c>
      <c r="D23" s="21">
        <v>2705423.3</v>
      </c>
      <c r="E23">
        <f t="shared" si="2"/>
        <v>-268546</v>
      </c>
      <c r="F23">
        <f t="shared" si="3"/>
        <v>1215164.3999999999</v>
      </c>
      <c r="G23" s="11">
        <f t="shared" si="4"/>
        <v>-0.22099561178717878</v>
      </c>
      <c r="H23">
        <f t="shared" si="5"/>
        <v>3.0608477359907389</v>
      </c>
      <c r="I23">
        <f t="shared" si="1"/>
        <v>1695944.5381623211</v>
      </c>
    </row>
    <row r="24" spans="1:21" x14ac:dyDescent="0.2">
      <c r="A24" s="20">
        <v>2023</v>
      </c>
      <c r="B24" s="21">
        <v>6537825</v>
      </c>
      <c r="C24" s="21">
        <v>105.1</v>
      </c>
      <c r="D24" s="21">
        <v>4014418.1</v>
      </c>
      <c r="E24">
        <f t="shared" si="2"/>
        <v>1346797</v>
      </c>
      <c r="F24">
        <f t="shared" si="3"/>
        <v>1308994.8000000003</v>
      </c>
      <c r="G24" s="11">
        <f t="shared" si="4"/>
        <v>1.0288788007408431</v>
      </c>
      <c r="H24">
        <f t="shared" si="5"/>
        <v>3.2169509705262662</v>
      </c>
      <c r="I24">
        <f t="shared" si="1"/>
        <v>2032304.8314691805</v>
      </c>
    </row>
    <row r="25" spans="1:21" x14ac:dyDescent="0.2">
      <c r="A25" s="20">
        <v>2024</v>
      </c>
      <c r="B25" s="21">
        <v>7658659</v>
      </c>
      <c r="C25" s="21">
        <v>112</v>
      </c>
      <c r="D25" s="21">
        <v>4486682.7</v>
      </c>
      <c r="E25">
        <f t="shared" si="2"/>
        <v>1120834</v>
      </c>
      <c r="F25">
        <f t="shared" si="3"/>
        <v>472264.60000000009</v>
      </c>
      <c r="G25" s="11">
        <f t="shared" si="4"/>
        <v>2.3733178391943834</v>
      </c>
      <c r="H25">
        <f t="shared" si="5"/>
        <v>3.6029850869894187</v>
      </c>
      <c r="I25">
        <f t="shared" si="1"/>
        <v>2125642.7143303612</v>
      </c>
    </row>
  </sheetData>
  <hyperlinks>
    <hyperlink ref="F13" r:id="rId1" display="https://index.minfin.com.ua/ua/finance/budget/gov/expense/2014/" xr:uid="{74912564-6E44-4446-9715-9D1D9E30734E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Onyshchuk</dc:creator>
  <cp:lastModifiedBy>Mariia Onyshchuk</cp:lastModifiedBy>
  <dcterms:created xsi:type="dcterms:W3CDTF">2025-11-17T17:56:49Z</dcterms:created>
  <dcterms:modified xsi:type="dcterms:W3CDTF">2025-12-12T21:50:33Z</dcterms:modified>
</cp:coreProperties>
</file>